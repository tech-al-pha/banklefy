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ransactions" sheetId="1" r:id="rId1"/>
    <sheet name="Audit" sheetId="2" r:id="rId2"/>
    <sheet name="Summary" sheetId="3" r:id="rId3"/>
    <sheet name="Categories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[Red]-#,##0.00;[Red]-#,##0.00;&quot;-&quot;"/>
    <numFmt numFmtId="61" formatCode="[Green]#,##0.00;[Red]-#,##0.00;&quot;-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4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54"/>
  <sheetViews>
    <sheetView workbookViewId="0"/>
  </sheetViews>
  <cols>
    <col min="1" max="1" width="28.83203125" customWidth="1"/>
    <col min="2" max="2" width="16.83203125" customWidth="1"/>
    <col min="3" max="3" width="32.83203125" customWidth="1"/>
    <col min="4" max="4" width="19.83203125" customWidth="1"/>
    <col min="5" max="5" width="25.83203125" customWidth="1"/>
    <col min="6" max="6" width="16.83203125" customWidth="1"/>
    <col min="7" max="7" width="9.83203125" customWidth="1"/>
    <col min="8" max="8" width="35.83203125" customWidth="1"/>
  </cols>
  <sheetData>
    <row r="1" ht="24" customHeight="1">
      <c r="A1" t="str">
        <v>🏦 BANK STATEMENT ANALYSIS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</row>
    <row r="2" ht="20" customHeight="1">
      <c r="A2" t="str">
        <v/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</row>
    <row r="3" ht="20" customHeight="1">
      <c r="A3" t="str">
        <v>Bank:</v>
      </c>
      <c r="B3" t="str">
        <v>Chase</v>
      </c>
      <c r="C3" t="str">
        <v/>
      </c>
      <c r="D3" t="str">
        <v>Account Holder:</v>
      </c>
      <c r="E3" t="str">
        <v>JAMES C. MORRISON</v>
      </c>
      <c r="F3" t="str">
        <v/>
      </c>
      <c r="G3" t="str">
        <v/>
      </c>
      <c r="H3" t="str">
        <v/>
      </c>
    </row>
    <row r="4">
      <c r="A4" t="str">
        <v>Account No:</v>
      </c>
      <c r="B4" t="str">
        <v>12345678</v>
      </c>
      <c r="C4" t="str">
        <v/>
      </c>
      <c r="D4" t="str">
        <v>IBAN:</v>
      </c>
      <c r="E4" t="str">
        <v>N/A</v>
      </c>
      <c r="F4" t="str">
        <v/>
      </c>
      <c r="G4" t="str">
        <v/>
      </c>
      <c r="H4" t="str">
        <v/>
      </c>
    </row>
    <row r="5">
      <c r="A5" t="str">
        <v>Currency:</v>
      </c>
      <c r="B5" t="str">
        <v>USD</v>
      </c>
      <c r="C5" t="str">
        <v/>
      </c>
      <c r="D5" t="str">
        <v>Statement Period:</v>
      </c>
      <c r="E5" t="str">
        <v>October 10 - November 9</v>
      </c>
      <c r="F5" t="str">
        <v/>
      </c>
      <c r="G5" t="str">
        <v/>
      </c>
      <c r="H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</row>
    <row r="7">
      <c r="A7" t="str">
        <v>📊 FINANCIAL SUMMARY</v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</row>
    <row r="8">
      <c r="A8" t="str">
        <v/>
      </c>
      <c r="B8" t="str">
        <v>Total Credits:</v>
      </c>
      <c r="C8" t="str">
        <v>$2,989.55</v>
      </c>
      <c r="D8" t="str">
        <v/>
      </c>
      <c r="E8" t="str">
        <v>Total Debits:</v>
      </c>
      <c r="F8" t="str">
        <v>$2,691.55</v>
      </c>
      <c r="G8" t="str">
        <v/>
      </c>
      <c r="H8" t="str">
        <v/>
      </c>
    </row>
    <row r="9">
      <c r="A9" t="str">
        <v/>
      </c>
      <c r="B9" t="str">
        <v>Net Balance:</v>
      </c>
      <c r="C9" t="str">
        <v>$298.00</v>
      </c>
      <c r="D9" t="str">
        <v/>
      </c>
      <c r="E9" t="str">
        <v>Closing Balance:</v>
      </c>
      <c r="F9" t="str">
        <v>$0.00</v>
      </c>
      <c r="G9" t="str">
        <v/>
      </c>
      <c r="H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</row>
    <row r="11" ht="22" customHeight="1">
      <c r="A11" t="str">
        <v>Ref ID</v>
      </c>
      <c r="B11" t="str">
        <v>Date</v>
      </c>
      <c r="C11" t="str">
        <v>Description</v>
      </c>
      <c r="D11" t="str">
        <v>Category</v>
      </c>
      <c r="E11" t="str">
        <v>Debit</v>
      </c>
      <c r="F11" t="str">
        <v>Credit</v>
      </c>
      <c r="G11" t="str">
        <v>Balance</v>
      </c>
      <c r="H11" t="str">
        <v>Flags</v>
      </c>
    </row>
    <row r="12">
      <c r="A12" t="str">
        <v>ATM:PURCHASE</v>
      </c>
      <c r="B12" t="str">
        <v>2023-10-02</v>
      </c>
      <c r="C12" t="str">
        <v>Pos Purchase</v>
      </c>
      <c r="D12" t="str">
        <v>Other</v>
      </c>
      <c r="E12" s="1">
        <v>-4.23</v>
      </c>
      <c r="G12" s="2">
        <v>65.73</v>
      </c>
      <c r="H12" t="str">
        <v>🔄 Duplicate</v>
      </c>
    </row>
    <row r="13">
      <c r="A13" t="str">
        <v>-</v>
      </c>
      <c r="B13" t="str">
        <v>2023-10-03</v>
      </c>
      <c r="C13" t="str">
        <v>Preauthorized Credit</v>
      </c>
      <c r="D13" t="str">
        <v>Salary/Income</v>
      </c>
      <c r="F13" s="3">
        <v>763.01</v>
      </c>
      <c r="G13" s="2">
        <v>828.74</v>
      </c>
      <c r="H13" t="str">
        <v>-</v>
      </c>
    </row>
    <row r="14">
      <c r="A14" t="str">
        <v>ATM:PURCHASE</v>
      </c>
      <c r="B14" t="str">
        <v>2023-10-04</v>
      </c>
      <c r="C14" t="str">
        <v>Pos Purchase</v>
      </c>
      <c r="D14" t="str">
        <v>Other</v>
      </c>
      <c r="E14" s="1">
        <v>-11.68</v>
      </c>
      <c r="G14" s="2">
        <v>817.06</v>
      </c>
      <c r="H14" t="str">
        <v>🔄 Duplicate</v>
      </c>
    </row>
    <row r="15">
      <c r="A15" t="str">
        <v>-</v>
      </c>
      <c r="B15" t="str">
        <v>2023-10-05</v>
      </c>
      <c r="C15" t="str">
        <v>Check 1234</v>
      </c>
      <c r="D15" t="str">
        <v>Other</v>
      </c>
      <c r="E15" s="1">
        <v>-9.98</v>
      </c>
      <c r="G15" s="2">
        <v>807.08</v>
      </c>
      <c r="H15" t="str">
        <v>🔄 Duplicate</v>
      </c>
    </row>
    <row r="16">
      <c r="A16" t="str">
        <v>ATM:PURCHASE</v>
      </c>
      <c r="B16" t="str">
        <v>2023-10-05</v>
      </c>
      <c r="C16" t="str">
        <v>Pos Purchase</v>
      </c>
      <c r="D16" t="str">
        <v>Other</v>
      </c>
      <c r="E16" s="1">
        <v>-25</v>
      </c>
      <c r="G16" s="2">
        <v>782.08</v>
      </c>
      <c r="H16" t="str">
        <v>-</v>
      </c>
    </row>
    <row r="17">
      <c r="A17" t="str">
        <v>ATM:PURCHASE</v>
      </c>
      <c r="B17" t="str">
        <v>2023-10-08</v>
      </c>
      <c r="C17" t="str">
        <v>Pos Purchase</v>
      </c>
      <c r="D17" t="str">
        <v>Other</v>
      </c>
      <c r="E17" s="1">
        <v>-59.5</v>
      </c>
      <c r="G17" s="2">
        <v>722.58</v>
      </c>
      <c r="H17" t="str">
        <v>-</v>
      </c>
    </row>
    <row r="18">
      <c r="A18" t="str">
        <v>-</v>
      </c>
      <c r="B18" t="str">
        <v>2023-10-10</v>
      </c>
      <c r="C18" t="str">
        <v>Check 1236</v>
      </c>
      <c r="D18" t="str">
        <v>Other</v>
      </c>
      <c r="E18" s="1">
        <v>-69.08</v>
      </c>
      <c r="G18" s="2">
        <v>653.5</v>
      </c>
      <c r="H18" t="str">
        <v>-</v>
      </c>
    </row>
    <row r="19">
      <c r="A19" t="str">
        <v>-</v>
      </c>
      <c r="B19" t="str">
        <v>2023-10-12</v>
      </c>
      <c r="C19" t="str">
        <v>Check 1237</v>
      </c>
      <c r="D19" t="str">
        <v>Other</v>
      </c>
      <c r="E19" s="1">
        <v>-180.63</v>
      </c>
      <c r="G19" s="2">
        <v>472.87</v>
      </c>
      <c r="H19" t="str">
        <v>-</v>
      </c>
    </row>
    <row r="20">
      <c r="A20" t="str">
        <v>ATM:PURCHASE</v>
      </c>
      <c r="B20" t="str">
        <v>2023-10-14</v>
      </c>
      <c r="C20" t="str">
        <v>Pos Purchase</v>
      </c>
      <c r="D20" t="str">
        <v>Other</v>
      </c>
      <c r="E20" s="1">
        <v>-18.96</v>
      </c>
      <c r="G20" s="2">
        <v>453.91</v>
      </c>
      <c r="H20" t="str">
        <v>🔄 Duplicate</v>
      </c>
    </row>
    <row r="21">
      <c r="A21" t="str">
        <v>-</v>
      </c>
      <c r="B21" t="str">
        <v>2023-10-16</v>
      </c>
      <c r="C21" t="str">
        <v>Preauthorized Credit</v>
      </c>
      <c r="D21" t="str">
        <v>Salary/Income</v>
      </c>
      <c r="F21" s="3">
        <v>763.01</v>
      </c>
      <c r="G21" s="2">
        <v>1216.92</v>
      </c>
      <c r="H21" t="str">
        <v>🔄 Duplicate</v>
      </c>
    </row>
    <row r="22">
      <c r="A22" t="str">
        <v>ATM:WITHDRAWAL</v>
      </c>
      <c r="B22" t="str">
        <v>2023-10-22</v>
      </c>
      <c r="C22" t="str">
        <v>Atm Withdrawal</v>
      </c>
      <c r="D22" t="str">
        <v>Cash</v>
      </c>
      <c r="E22" s="1">
        <v>-140</v>
      </c>
      <c r="G22" s="2">
        <v>1076.92</v>
      </c>
      <c r="H22" t="str">
        <v>🔄 Duplicate</v>
      </c>
    </row>
    <row r="23">
      <c r="A23" t="str">
        <v>-</v>
      </c>
      <c r="B23" t="str">
        <v>2023-10-28</v>
      </c>
      <c r="C23" t="str">
        <v>Check 1238</v>
      </c>
      <c r="D23" t="str">
        <v>Other</v>
      </c>
      <c r="E23" s="1">
        <v>-91.06</v>
      </c>
      <c r="G23" s="2">
        <v>985.86</v>
      </c>
      <c r="H23" t="str">
        <v>🔄 Duplicate</v>
      </c>
    </row>
    <row r="24">
      <c r="A24" t="str">
        <v>-</v>
      </c>
      <c r="B24" t="str">
        <v>2023-10-30</v>
      </c>
      <c r="C24" t="str">
        <v>Check 1246</v>
      </c>
      <c r="D24" t="str">
        <v>Other</v>
      </c>
      <c r="E24" s="1">
        <v>-451.2</v>
      </c>
      <c r="G24" s="2">
        <v>534.66</v>
      </c>
      <c r="H24" t="str">
        <v>-</v>
      </c>
    </row>
    <row r="25">
      <c r="A25" t="str">
        <v>-</v>
      </c>
      <c r="B25" t="str">
        <v>2023-10-30</v>
      </c>
      <c r="C25" t="str">
        <v>Check 1246</v>
      </c>
      <c r="D25" t="str">
        <v>Other</v>
      </c>
      <c r="E25" s="1">
        <v>-37.07</v>
      </c>
      <c r="G25" s="2">
        <v>497.59</v>
      </c>
      <c r="H25" t="str">
        <v>-</v>
      </c>
    </row>
    <row r="26">
      <c r="A26" t="str">
        <v>ATM:PURCHASE</v>
      </c>
      <c r="B26" t="str">
        <v>2023-10-30</v>
      </c>
      <c r="C26" t="str">
        <v>Pos Purchase</v>
      </c>
      <c r="D26" t="str">
        <v>Other</v>
      </c>
      <c r="E26" s="1">
        <v>-18.67</v>
      </c>
      <c r="G26" s="2">
        <v>478.92</v>
      </c>
      <c r="H26" t="str">
        <v>🔄 Duplicate</v>
      </c>
    </row>
    <row r="27">
      <c r="A27" t="str">
        <v>-</v>
      </c>
      <c r="B27" t="str">
        <v>2023-10-31</v>
      </c>
      <c r="C27" t="str">
        <v>Check 1247</v>
      </c>
      <c r="D27" t="str">
        <v>Other</v>
      </c>
      <c r="E27" s="1">
        <v>-100</v>
      </c>
      <c r="G27" s="2">
        <v>378.92</v>
      </c>
      <c r="H27" t="str">
        <v>🔄 Duplicate</v>
      </c>
    </row>
    <row r="28">
      <c r="A28" t="str">
        <v>-</v>
      </c>
      <c r="B28" t="str">
        <v>2023-10-31</v>
      </c>
      <c r="C28" t="str">
        <v>Check 1248</v>
      </c>
      <c r="D28" t="str">
        <v>Other</v>
      </c>
      <c r="E28" s="1">
        <v>-78.24</v>
      </c>
      <c r="G28" s="2">
        <v>300.68</v>
      </c>
      <c r="H28" t="str">
        <v>🔄 Duplicate</v>
      </c>
    </row>
    <row r="29">
      <c r="A29" t="str">
        <v>-</v>
      </c>
      <c r="B29" t="str">
        <v>2023-10-31</v>
      </c>
      <c r="C29" t="str">
        <v>Preauthorized Credit</v>
      </c>
      <c r="D29" t="str">
        <v>Salary/Income</v>
      </c>
      <c r="F29" s="3">
        <v>350</v>
      </c>
      <c r="G29" s="2">
        <v>650.68</v>
      </c>
      <c r="H29" t="str">
        <v>🔄 Duplicate</v>
      </c>
    </row>
    <row r="30">
      <c r="A30" t="str">
        <v>-</v>
      </c>
      <c r="B30" t="str">
        <v>2023-11-02</v>
      </c>
      <c r="C30" t="str">
        <v>Check 1249</v>
      </c>
      <c r="D30" t="str">
        <v>Other</v>
      </c>
      <c r="E30" s="1">
        <v>-52.23</v>
      </c>
      <c r="G30" s="2">
        <v>598.45</v>
      </c>
      <c r="H30" t="str">
        <v>🔄 Duplicate</v>
      </c>
    </row>
    <row r="31">
      <c r="A31" t="str">
        <v>-</v>
      </c>
      <c r="B31" t="str">
        <v>2023-11-09</v>
      </c>
      <c r="C31" t="str">
        <v>Interest Credit</v>
      </c>
      <c r="D31" t="str">
        <v>Other</v>
      </c>
      <c r="F31" s="3">
        <v>0.26</v>
      </c>
      <c r="G31" s="2">
        <v>598.71</v>
      </c>
      <c r="H31" t="str">
        <v>🔄 Duplicate</v>
      </c>
    </row>
    <row r="32">
      <c r="A32" t="str">
        <v>-</v>
      </c>
      <c r="B32" t="str">
        <v>2023-11-09</v>
      </c>
      <c r="C32" t="str">
        <v>Service Charge</v>
      </c>
      <c r="D32" t="str">
        <v>Bank Fees</v>
      </c>
      <c r="E32" s="1">
        <v>-12</v>
      </c>
      <c r="G32" s="2">
        <v>586.71</v>
      </c>
      <c r="H32" t="str">
        <v>🔄 Duplicate</v>
      </c>
    </row>
    <row r="33">
      <c r="A33" t="str">
        <v>ATM:PURCHASE</v>
      </c>
      <c r="B33" t="str">
        <v>2023-10-02</v>
      </c>
      <c r="C33" t="str">
        <v>Pos Purchase</v>
      </c>
      <c r="D33" t="str">
        <v>Other</v>
      </c>
      <c r="E33" s="1">
        <v>-4.23</v>
      </c>
      <c r="G33" s="2">
        <v>0</v>
      </c>
      <c r="H33" t="str">
        <v>🔄 Duplicate, ⚠️ Balance Mismatch</v>
      </c>
    </row>
    <row r="34">
      <c r="A34" t="str">
        <v>ATM:PURCHASE</v>
      </c>
      <c r="B34" t="str">
        <v>2023-10-04</v>
      </c>
      <c r="C34" t="str">
        <v>Pos Purchase</v>
      </c>
      <c r="D34" t="str">
        <v>Other</v>
      </c>
      <c r="E34" s="1">
        <v>-11.68</v>
      </c>
      <c r="G34" s="2">
        <v>0</v>
      </c>
      <c r="H34" t="str">
        <v>🔄 Duplicate, ⚠️ Balance Mismatch</v>
      </c>
    </row>
    <row r="35">
      <c r="A35" t="str">
        <v>ATM:PURCHASE</v>
      </c>
      <c r="B35" t="str">
        <v>2023-10-05</v>
      </c>
      <c r="C35" t="str">
        <v>Pos Purchase</v>
      </c>
      <c r="D35" t="str">
        <v>Other</v>
      </c>
      <c r="E35" s="1">
        <v>-25.5</v>
      </c>
      <c r="G35" s="2">
        <v>0</v>
      </c>
      <c r="H35" t="str">
        <v>⚠️ Balance Mismatch</v>
      </c>
    </row>
    <row r="36">
      <c r="A36" t="str">
        <v>-</v>
      </c>
      <c r="B36" t="str">
        <v>2023-10-05</v>
      </c>
      <c r="C36" t="str">
        <v>Check 1234</v>
      </c>
      <c r="D36" t="str">
        <v>Other</v>
      </c>
      <c r="E36" s="1">
        <v>-9.98</v>
      </c>
      <c r="G36" s="2">
        <v>0</v>
      </c>
      <c r="H36" t="str">
        <v>🔄 Duplicate, ⚠️ Balance Mismatch</v>
      </c>
    </row>
    <row r="37">
      <c r="A37" t="str">
        <v>ATM:PURCHASE</v>
      </c>
      <c r="B37" t="str">
        <v>2023-10-07</v>
      </c>
      <c r="C37" t="str">
        <v>Pos Purchase</v>
      </c>
      <c r="D37" t="str">
        <v>Other</v>
      </c>
      <c r="E37" s="1">
        <v>-31.57</v>
      </c>
      <c r="G37" s="2">
        <v>0</v>
      </c>
      <c r="H37" t="str">
        <v>⚠️ Balance Mismatch</v>
      </c>
    </row>
    <row r="38">
      <c r="A38" t="str">
        <v>-</v>
      </c>
      <c r="B38" t="str">
        <v>2023-10-12</v>
      </c>
      <c r="C38" t="str">
        <v>Check 1236</v>
      </c>
      <c r="D38" t="str">
        <v>Other</v>
      </c>
      <c r="E38" s="1">
        <v>-69</v>
      </c>
      <c r="G38" s="2">
        <v>0</v>
      </c>
      <c r="H38" t="str">
        <v>⚠️ Balance Mismatch</v>
      </c>
    </row>
    <row r="39">
      <c r="A39" t="str">
        <v>ATM:PURCHASE</v>
      </c>
      <c r="B39" t="str">
        <v>2023-10-14</v>
      </c>
      <c r="C39" t="str">
        <v>Pos Purchase</v>
      </c>
      <c r="D39" t="str">
        <v>Other</v>
      </c>
      <c r="E39" s="1">
        <v>-18.96</v>
      </c>
      <c r="G39" s="2">
        <v>0</v>
      </c>
      <c r="H39" t="str">
        <v>🔄 Duplicate, ⚠️ Balance Mismatch</v>
      </c>
    </row>
    <row r="40">
      <c r="A40" t="str">
        <v>-</v>
      </c>
      <c r="B40" t="str">
        <v>2023-10-14</v>
      </c>
      <c r="C40" t="str">
        <v>Check 1237</v>
      </c>
      <c r="D40" t="str">
        <v>Other</v>
      </c>
      <c r="E40" s="1">
        <v>-180.63</v>
      </c>
      <c r="G40" s="2">
        <v>0</v>
      </c>
      <c r="H40" t="str">
        <v>⚠️ Balance Mismatch</v>
      </c>
    </row>
    <row r="41">
      <c r="A41" t="str">
        <v>-</v>
      </c>
      <c r="B41" t="str">
        <v>2023-10-16</v>
      </c>
      <c r="C41" t="str">
        <v>Preauthorized Credit</v>
      </c>
      <c r="D41" t="str">
        <v>Salary/Income</v>
      </c>
      <c r="F41" s="3">
        <v>763.01</v>
      </c>
      <c r="G41" s="2">
        <v>0</v>
      </c>
      <c r="H41" t="str">
        <v>🔄 Duplicate, ⚠️ Balance Mismatch</v>
      </c>
    </row>
    <row r="42">
      <c r="A42" t="str">
        <v>ATM:WITHDRAWAL</v>
      </c>
      <c r="B42" t="str">
        <v>2023-10-22</v>
      </c>
      <c r="C42" t="str">
        <v>Atm Withdrawal</v>
      </c>
      <c r="D42" t="str">
        <v>Cash</v>
      </c>
      <c r="E42" s="1">
        <v>-140</v>
      </c>
      <c r="G42" s="2">
        <v>0</v>
      </c>
      <c r="H42" t="str">
        <v>🔄 Duplicate, ⚠️ Balance Mismatch</v>
      </c>
    </row>
    <row r="43">
      <c r="A43" t="str">
        <v>-</v>
      </c>
      <c r="B43" t="str">
        <v>2023-10-28</v>
      </c>
      <c r="C43" t="str">
        <v>Check 1238</v>
      </c>
      <c r="D43" t="str">
        <v>Other</v>
      </c>
      <c r="E43" s="1">
        <v>-91.06</v>
      </c>
      <c r="G43" s="2">
        <v>0</v>
      </c>
      <c r="H43" t="str">
        <v>🔄 Duplicate, ⚠️ Balance Mismatch</v>
      </c>
    </row>
    <row r="44">
      <c r="A44" t="str">
        <v>ATM:PURCHASE</v>
      </c>
      <c r="B44" t="str">
        <v>2023-10-30</v>
      </c>
      <c r="C44" t="str">
        <v>Pos Purchase</v>
      </c>
      <c r="D44" t="str">
        <v>Other</v>
      </c>
      <c r="E44" s="1">
        <v>-18.67</v>
      </c>
      <c r="G44" s="2">
        <v>0</v>
      </c>
      <c r="H44" t="str">
        <v>🔄 Duplicate, ⚠️ Balance Mismatch</v>
      </c>
    </row>
    <row r="45">
      <c r="A45" t="str">
        <v>-</v>
      </c>
      <c r="B45" t="str">
        <v>2023-10-30</v>
      </c>
      <c r="C45" t="str">
        <v>Check 1239</v>
      </c>
      <c r="D45" t="str">
        <v>Other</v>
      </c>
      <c r="E45" s="1">
        <v>-451.2</v>
      </c>
      <c r="G45" s="2">
        <v>0</v>
      </c>
      <c r="H45" t="str">
        <v>⚠️ Balance Mismatch</v>
      </c>
    </row>
    <row r="46">
      <c r="A46" t="str">
        <v>-</v>
      </c>
      <c r="B46" t="str">
        <v>2023-10-31</v>
      </c>
      <c r="C46" t="str">
        <v>Preauthorized Credit</v>
      </c>
      <c r="D46" t="str">
        <v>Salary/Income</v>
      </c>
      <c r="F46" s="3">
        <v>350</v>
      </c>
      <c r="G46" s="2">
        <v>0</v>
      </c>
      <c r="H46" t="str">
        <v>🔄 Duplicate, ⚠️ Balance Mismatch</v>
      </c>
    </row>
    <row r="47">
      <c r="A47" t="str">
        <v>-</v>
      </c>
      <c r="B47" t="str">
        <v>2023-10-31</v>
      </c>
      <c r="C47" t="str">
        <v>Check 1247</v>
      </c>
      <c r="D47" t="str">
        <v>Other</v>
      </c>
      <c r="E47" s="1">
        <v>-100</v>
      </c>
      <c r="G47" s="2">
        <v>0</v>
      </c>
      <c r="H47" t="str">
        <v>🔄 Duplicate, ⚠️ Balance Mismatch</v>
      </c>
    </row>
    <row r="48">
      <c r="A48" t="str">
        <v>-</v>
      </c>
      <c r="B48" t="str">
        <v>2023-10-31</v>
      </c>
      <c r="C48" t="str">
        <v>Check 1248</v>
      </c>
      <c r="D48" t="str">
        <v>Other</v>
      </c>
      <c r="E48" s="1">
        <v>-78.24</v>
      </c>
      <c r="G48" s="2">
        <v>0</v>
      </c>
      <c r="H48" t="str">
        <v>🔄 Duplicate, ⚠️ Balance Mismatch</v>
      </c>
    </row>
    <row r="49">
      <c r="A49" t="str">
        <v>-</v>
      </c>
      <c r="B49" t="str">
        <v>2023-11-02</v>
      </c>
      <c r="C49" t="str">
        <v>Check 1246</v>
      </c>
      <c r="D49" t="str">
        <v>Other</v>
      </c>
      <c r="E49" s="1">
        <v>-37.07</v>
      </c>
      <c r="G49" s="2">
        <v>0</v>
      </c>
      <c r="H49" t="str">
        <v>⚠️ Balance Mismatch</v>
      </c>
    </row>
    <row r="50">
      <c r="A50" t="str">
        <v>-</v>
      </c>
      <c r="B50" t="str">
        <v>2023-11-02</v>
      </c>
      <c r="C50" t="str">
        <v>Check 1249</v>
      </c>
      <c r="D50" t="str">
        <v>Other</v>
      </c>
      <c r="E50" s="1">
        <v>-52.23</v>
      </c>
      <c r="G50" s="2">
        <v>0</v>
      </c>
      <c r="H50" t="str">
        <v>🔄 Duplicate, ⚠️ Balance Mismatch</v>
      </c>
    </row>
    <row r="51">
      <c r="A51" t="str">
        <v>-</v>
      </c>
      <c r="B51" t="str">
        <v>2023-11-09</v>
      </c>
      <c r="C51" t="str">
        <v>Interest Credit</v>
      </c>
      <c r="D51" t="str">
        <v>Other</v>
      </c>
      <c r="F51" s="3">
        <v>0.26</v>
      </c>
      <c r="G51" s="2">
        <v>0</v>
      </c>
      <c r="H51" t="str">
        <v>🔄 Duplicate, ⚠️ Balance Mismatch</v>
      </c>
    </row>
    <row r="52">
      <c r="A52" t="str">
        <v>-</v>
      </c>
      <c r="B52" t="str">
        <v>2023-11-09</v>
      </c>
      <c r="C52" t="str">
        <v>Service Charge</v>
      </c>
      <c r="D52" t="str">
        <v>Bank Fees</v>
      </c>
      <c r="E52" s="1">
        <v>-12</v>
      </c>
      <c r="G52" s="2">
        <v>0</v>
      </c>
      <c r="H52" t="str">
        <v>🔄 Duplicate, ⚠️ Balance Mismatch</v>
      </c>
    </row>
    <row r="53">
      <c r="A53" t="str">
        <v/>
      </c>
      <c r="B53" t="str">
        <v/>
      </c>
      <c r="C53" t="str">
        <v>GRAND TOTAL</v>
      </c>
      <c r="D53" t="str">
        <v/>
      </c>
      <c r="E53" s="1">
        <f>SUM(E12:E52)</f>
      </c>
      <c r="F53" s="3">
        <f>SUM(F12:F52)</f>
      </c>
      <c r="G53" s="2">
        <v>0</v>
      </c>
      <c r="H53" t="str">
        <v/>
      </c>
    </row>
    <row r="54">
      <c r="A54" t="str">
        <v/>
      </c>
      <c r="B54" t="str">
        <v/>
      </c>
      <c r="C54" t="str">
        <v>NET BALANCE (Credits + Debits)</v>
      </c>
      <c r="D54" t="str">
        <v/>
      </c>
      <c r="E54" t="str">
        <v/>
      </c>
      <c r="F54" s="3">
        <f>F53+E53</f>
      </c>
      <c r="G54" t="str">
        <v/>
      </c>
      <c r="H54" t="str">
        <v/>
      </c>
    </row>
  </sheetData>
  <ignoredErrors>
    <ignoredError numberStoredAsText="1" sqref="A1:H5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61"/>
  <sheetViews>
    <sheetView workbookViewId="0"/>
  </sheetViews>
  <cols>
    <col min="1" max="1" width="27.83203125" customWidth="1"/>
    <col min="2" max="2" width="16.83203125" customWidth="1"/>
    <col min="3" max="3" width="19.83203125" customWidth="1"/>
    <col min="4" max="4" width="52.83203125" customWidth="1"/>
    <col min="5" max="5" width="70.83203125" customWidth="1"/>
  </cols>
  <sheetData>
    <row r="1">
      <c r="A1" t="str">
        <v>🔍 AUDIT REPORT</v>
      </c>
      <c r="B1" t="str">
        <v/>
      </c>
      <c r="C1" t="str">
        <v/>
      </c>
      <c r="D1" t="str">
        <v/>
      </c>
      <c r="E1" t="str">
        <v/>
      </c>
    </row>
    <row r="2">
      <c r="A2" t="str">
        <v/>
      </c>
    </row>
    <row r="3">
      <c r="A3" t="str">
        <v>Type</v>
      </c>
      <c r="B3" t="str">
        <v>Row #</v>
      </c>
      <c r="C3" t="str">
        <v>Ref ID</v>
      </c>
      <c r="D3" t="str">
        <v>Description</v>
      </c>
      <c r="E3" t="str">
        <v>Details</v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</row>
    <row r="5">
      <c r="A5" t="str">
        <v>📋 DUPLICATE TRANSACTIONS</v>
      </c>
      <c r="B5" t="str">
        <v/>
      </c>
      <c r="C5" t="str">
        <v/>
      </c>
      <c r="D5" t="str">
        <v/>
      </c>
      <c r="E5" t="str">
        <v>Total: 28</v>
      </c>
    </row>
    <row r="6">
      <c r="A6" t="str">
        <v>🔄 Duplicate</v>
      </c>
      <c r="B6">
        <f>HYPERLINK("#Transactions!A12","Row 1")</f>
      </c>
      <c r="C6" t="str">
        <v>ATM:PURCHASE</v>
      </c>
      <c r="D6" t="str">
        <v>Pos Purchase</v>
      </c>
      <c r="E6" t="str">
        <v>Amount: 4.23</v>
      </c>
    </row>
    <row r="7">
      <c r="A7" t="str">
        <v>🔄 Duplicate</v>
      </c>
      <c r="B7">
        <f>HYPERLINK("#Transactions!A14","Row 3")</f>
      </c>
      <c r="C7" t="str">
        <v>ATM:PURCHASE</v>
      </c>
      <c r="D7" t="str">
        <v>Pos Purchase</v>
      </c>
      <c r="E7" t="str">
        <v>Amount: 11.68</v>
      </c>
    </row>
    <row r="8">
      <c r="A8" t="str">
        <v>🔄 Duplicate</v>
      </c>
      <c r="B8">
        <f>HYPERLINK("#Transactions!A15","Row 4")</f>
      </c>
      <c r="C8" t="str">
        <v/>
      </c>
      <c r="D8" t="str">
        <v>Check 1234</v>
      </c>
      <c r="E8" t="str">
        <v>Amount: 9.98</v>
      </c>
    </row>
    <row r="9">
      <c r="A9" t="str">
        <v>🔄 Duplicate</v>
      </c>
      <c r="B9">
        <f>HYPERLINK("#Transactions!A20","Row 9")</f>
      </c>
      <c r="C9" t="str">
        <v>ATM:PURCHASE</v>
      </c>
      <c r="D9" t="str">
        <v>Pos Purchase</v>
      </c>
      <c r="E9" t="str">
        <v>Amount: 18.96</v>
      </c>
    </row>
    <row r="10">
      <c r="A10" t="str">
        <v>🔄 Duplicate</v>
      </c>
      <c r="B10">
        <f>HYPERLINK("#Transactions!A21","Row 10")</f>
      </c>
      <c r="C10" t="str">
        <v/>
      </c>
      <c r="D10" t="str">
        <v>Preauthorized Credit</v>
      </c>
      <c r="E10" t="str">
        <v>Amount: 763.01</v>
      </c>
    </row>
    <row r="11">
      <c r="A11" t="str">
        <v>🔄 Duplicate</v>
      </c>
      <c r="B11">
        <f>HYPERLINK("#Transactions!A22","Row 11")</f>
      </c>
      <c r="C11" t="str">
        <v>ATM:WITHDRAWAL</v>
      </c>
      <c r="D11" t="str">
        <v>Atm Withdrawal</v>
      </c>
      <c r="E11" t="str">
        <v>Amount: 140.00</v>
      </c>
    </row>
    <row r="12">
      <c r="A12" t="str">
        <v>🔄 Duplicate</v>
      </c>
      <c r="B12">
        <f>HYPERLINK("#Transactions!A23","Row 12")</f>
      </c>
      <c r="C12" t="str">
        <v/>
      </c>
      <c r="D12" t="str">
        <v>Check 1238</v>
      </c>
      <c r="E12" t="str">
        <v>Amount: 91.06</v>
      </c>
    </row>
    <row r="13">
      <c r="A13" t="str">
        <v>🔄 Duplicate</v>
      </c>
      <c r="B13">
        <f>HYPERLINK("#Transactions!A26","Row 15")</f>
      </c>
      <c r="C13" t="str">
        <v>ATM:PURCHASE</v>
      </c>
      <c r="D13" t="str">
        <v>Pos Purchase</v>
      </c>
      <c r="E13" t="str">
        <v>Amount: 18.67</v>
      </c>
    </row>
    <row r="14">
      <c r="A14" t="str">
        <v>🔄 Duplicate</v>
      </c>
      <c r="B14">
        <f>HYPERLINK("#Transactions!A27","Row 16")</f>
      </c>
      <c r="C14" t="str">
        <v/>
      </c>
      <c r="D14" t="str">
        <v>Check 1247</v>
      </c>
      <c r="E14" t="str">
        <v>Amount: 100.00</v>
      </c>
    </row>
    <row r="15">
      <c r="A15" t="str">
        <v>🔄 Duplicate</v>
      </c>
      <c r="B15">
        <f>HYPERLINK("#Transactions!A28","Row 17")</f>
      </c>
      <c r="C15" t="str">
        <v/>
      </c>
      <c r="D15" t="str">
        <v>Check 1248</v>
      </c>
      <c r="E15" t="str">
        <v>Amount: 78.24</v>
      </c>
    </row>
    <row r="16">
      <c r="A16" t="str">
        <v>🔄 Duplicate</v>
      </c>
      <c r="B16">
        <f>HYPERLINK("#Transactions!A29","Row 18")</f>
      </c>
      <c r="C16" t="str">
        <v/>
      </c>
      <c r="D16" t="str">
        <v>Preauthorized Credit</v>
      </c>
      <c r="E16" t="str">
        <v>Amount: 350.00</v>
      </c>
    </row>
    <row r="17">
      <c r="A17" t="str">
        <v>🔄 Duplicate</v>
      </c>
      <c r="B17">
        <f>HYPERLINK("#Transactions!A30","Row 19")</f>
      </c>
      <c r="C17" t="str">
        <v/>
      </c>
      <c r="D17" t="str">
        <v>Check 1249</v>
      </c>
      <c r="E17" t="str">
        <v>Amount: 52.23</v>
      </c>
    </row>
    <row r="18">
      <c r="A18" t="str">
        <v>🔄 Duplicate</v>
      </c>
      <c r="B18">
        <f>HYPERLINK("#Transactions!A31","Row 20")</f>
      </c>
      <c r="C18" t="str">
        <v/>
      </c>
      <c r="D18" t="str">
        <v>Interest Credit</v>
      </c>
      <c r="E18" t="str">
        <v>Amount: 0.26</v>
      </c>
    </row>
    <row r="19">
      <c r="A19" t="str">
        <v>🔄 Duplicate</v>
      </c>
      <c r="B19">
        <f>HYPERLINK("#Transactions!A32","Row 21")</f>
      </c>
      <c r="C19" t="str">
        <v/>
      </c>
      <c r="D19" t="str">
        <v>Service Charge</v>
      </c>
      <c r="E19" t="str">
        <v>Amount: 12.00</v>
      </c>
    </row>
    <row r="20">
      <c r="A20" t="str">
        <v>🔄 Duplicate</v>
      </c>
      <c r="B20">
        <f>HYPERLINK("#Transactions!A33","Row 22")</f>
      </c>
      <c r="C20" t="str">
        <v>ATM:PURCHASE</v>
      </c>
      <c r="D20" t="str">
        <v>Pos Purchase</v>
      </c>
      <c r="E20" t="str">
        <v>Amount: 4.23</v>
      </c>
    </row>
    <row r="21">
      <c r="A21" t="str">
        <v>🔄 Duplicate</v>
      </c>
      <c r="B21">
        <f>HYPERLINK("#Transactions!A34","Row 23")</f>
      </c>
      <c r="C21" t="str">
        <v>ATM:PURCHASE</v>
      </c>
      <c r="D21" t="str">
        <v>Pos Purchase</v>
      </c>
      <c r="E21" t="str">
        <v>Amount: 11.68</v>
      </c>
    </row>
    <row r="22">
      <c r="A22" t="str">
        <v>🔄 Duplicate</v>
      </c>
      <c r="B22">
        <f>HYPERLINK("#Transactions!A36","Row 25")</f>
      </c>
      <c r="C22" t="str">
        <v/>
      </c>
      <c r="D22" t="str">
        <v>Check 1234</v>
      </c>
      <c r="E22" t="str">
        <v>Amount: 9.98</v>
      </c>
    </row>
    <row r="23">
      <c r="A23" t="str">
        <v>🔄 Duplicate</v>
      </c>
      <c r="B23">
        <f>HYPERLINK("#Transactions!A39","Row 28")</f>
      </c>
      <c r="C23" t="str">
        <v>ATM:PURCHASE</v>
      </c>
      <c r="D23" t="str">
        <v>Pos Purchase</v>
      </c>
      <c r="E23" t="str">
        <v>Amount: 18.96</v>
      </c>
    </row>
    <row r="24">
      <c r="A24" t="str">
        <v>🔄 Duplicate</v>
      </c>
      <c r="B24">
        <f>HYPERLINK("#Transactions!A41","Row 30")</f>
      </c>
      <c r="C24" t="str">
        <v/>
      </c>
      <c r="D24" t="str">
        <v>Preauthorized Credit</v>
      </c>
      <c r="E24" t="str">
        <v>Amount: 763.01</v>
      </c>
    </row>
    <row r="25">
      <c r="A25" t="str">
        <v>🔄 Duplicate</v>
      </c>
      <c r="B25">
        <f>HYPERLINK("#Transactions!A42","Row 31")</f>
      </c>
      <c r="C25" t="str">
        <v>ATM:WITHDRAWAL</v>
      </c>
      <c r="D25" t="str">
        <v>Atm Withdrawal</v>
      </c>
      <c r="E25" t="str">
        <v>Amount: 140.00</v>
      </c>
    </row>
    <row r="26">
      <c r="A26" t="str">
        <v>🔄 Duplicate</v>
      </c>
      <c r="B26">
        <f>HYPERLINK("#Transactions!A43","Row 32")</f>
      </c>
      <c r="C26" t="str">
        <v/>
      </c>
      <c r="D26" t="str">
        <v>Check 1238</v>
      </c>
      <c r="E26" t="str">
        <v>Amount: 91.06</v>
      </c>
    </row>
    <row r="27">
      <c r="A27" t="str">
        <v>🔄 Duplicate</v>
      </c>
      <c r="B27">
        <f>HYPERLINK("#Transactions!A44","Row 33")</f>
      </c>
      <c r="C27" t="str">
        <v>ATM:PURCHASE</v>
      </c>
      <c r="D27" t="str">
        <v>Pos Purchase</v>
      </c>
      <c r="E27" t="str">
        <v>Amount: 18.67</v>
      </c>
    </row>
    <row r="28">
      <c r="A28" t="str">
        <v>🔄 Duplicate</v>
      </c>
      <c r="B28">
        <f>HYPERLINK("#Transactions!A46","Row 35")</f>
      </c>
      <c r="C28" t="str">
        <v/>
      </c>
      <c r="D28" t="str">
        <v>Preauthorized Credit</v>
      </c>
      <c r="E28" t="str">
        <v>Amount: 350.00</v>
      </c>
    </row>
    <row r="29">
      <c r="A29" t="str">
        <v>🔄 Duplicate</v>
      </c>
      <c r="B29">
        <f>HYPERLINK("#Transactions!A47","Row 36")</f>
      </c>
      <c r="C29" t="str">
        <v/>
      </c>
      <c r="D29" t="str">
        <v>Check 1247</v>
      </c>
      <c r="E29" t="str">
        <v>Amount: 100.00</v>
      </c>
    </row>
    <row r="30">
      <c r="A30" t="str">
        <v>🔄 Duplicate</v>
      </c>
      <c r="B30">
        <f>HYPERLINK("#Transactions!A48","Row 37")</f>
      </c>
      <c r="C30" t="str">
        <v/>
      </c>
      <c r="D30" t="str">
        <v>Check 1248</v>
      </c>
      <c r="E30" t="str">
        <v>Amount: 78.24</v>
      </c>
    </row>
    <row r="31">
      <c r="A31" t="str">
        <v>🔄 Duplicate</v>
      </c>
      <c r="B31">
        <f>HYPERLINK("#Transactions!A50","Row 39")</f>
      </c>
      <c r="C31" t="str">
        <v/>
      </c>
      <c r="D31" t="str">
        <v>Check 1249</v>
      </c>
      <c r="E31" t="str">
        <v>Amount: 52.23</v>
      </c>
    </row>
    <row r="32">
      <c r="A32" t="str">
        <v>🔄 Duplicate</v>
      </c>
      <c r="B32">
        <f>HYPERLINK("#Transactions!A51","Row 40")</f>
      </c>
      <c r="C32" t="str">
        <v/>
      </c>
      <c r="D32" t="str">
        <v>Interest Credit</v>
      </c>
      <c r="E32" t="str">
        <v>Amount: 0.26</v>
      </c>
    </row>
    <row r="33">
      <c r="A33" t="str">
        <v>🔄 Duplicate</v>
      </c>
      <c r="B33">
        <f>HYPERLINK("#Transactions!A52","Row 41")</f>
      </c>
      <c r="C33" t="str">
        <v/>
      </c>
      <c r="D33" t="str">
        <v>Service Charge</v>
      </c>
      <c r="E33" t="str">
        <v>Amount: 12.00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</row>
    <row r="35">
      <c r="A35" t="str">
        <v>⚠️ BALANCE MISMATCHES</v>
      </c>
      <c r="B35" t="str">
        <v/>
      </c>
      <c r="C35" t="str">
        <v/>
      </c>
      <c r="D35" t="str">
        <v/>
      </c>
      <c r="E35" t="str">
        <v>Total: 20</v>
      </c>
    </row>
    <row r="36">
      <c r="A36" t="str">
        <v>⚠️ Mismatch</v>
      </c>
      <c r="B36">
        <f>HYPERLINK("#Transactions!A33","Row 22")</f>
      </c>
      <c r="C36" t="str">
        <v>ATM:PURCHASE</v>
      </c>
      <c r="D36" t="str">
        <v>Pos Purchase</v>
      </c>
      <c r="E36" t="str">
        <v>Balance: 0.00</v>
      </c>
    </row>
    <row r="37">
      <c r="A37" t="str">
        <v>⚠️ Mismatch</v>
      </c>
      <c r="B37">
        <f>HYPERLINK("#Transactions!A34","Row 23")</f>
      </c>
      <c r="C37" t="str">
        <v>ATM:PURCHASE</v>
      </c>
      <c r="D37" t="str">
        <v>Pos Purchase</v>
      </c>
      <c r="E37" t="str">
        <v>Balance: 0.00</v>
      </c>
    </row>
    <row r="38">
      <c r="A38" t="str">
        <v>⚠️ Mismatch</v>
      </c>
      <c r="B38">
        <f>HYPERLINK("#Transactions!A35","Row 24")</f>
      </c>
      <c r="C38" t="str">
        <v>ATM:PURCHASE</v>
      </c>
      <c r="D38" t="str">
        <v>Pos Purchase</v>
      </c>
      <c r="E38" t="str">
        <v>Balance: 0.00</v>
      </c>
    </row>
    <row r="39">
      <c r="A39" t="str">
        <v>⚠️ Mismatch</v>
      </c>
      <c r="B39">
        <f>HYPERLINK("#Transactions!A36","Row 25")</f>
      </c>
      <c r="C39" t="str">
        <v/>
      </c>
      <c r="D39" t="str">
        <v>Check 1234</v>
      </c>
      <c r="E39" t="str">
        <v>Balance: 0.00</v>
      </c>
    </row>
    <row r="40">
      <c r="A40" t="str">
        <v>⚠️ Mismatch</v>
      </c>
      <c r="B40">
        <f>HYPERLINK("#Transactions!A37","Row 26")</f>
      </c>
      <c r="C40" t="str">
        <v>ATM:PURCHASE</v>
      </c>
      <c r="D40" t="str">
        <v>Pos Purchase</v>
      </c>
      <c r="E40" t="str">
        <v>Balance: 0.00</v>
      </c>
    </row>
    <row r="41">
      <c r="A41" t="str">
        <v>⚠️ Mismatch</v>
      </c>
      <c r="B41">
        <f>HYPERLINK("#Transactions!A38","Row 27")</f>
      </c>
      <c r="C41" t="str">
        <v/>
      </c>
      <c r="D41" t="str">
        <v>Check 1236</v>
      </c>
      <c r="E41" t="str">
        <v>Balance: 0.00</v>
      </c>
    </row>
    <row r="42">
      <c r="A42" t="str">
        <v>⚠️ Mismatch</v>
      </c>
      <c r="B42">
        <f>HYPERLINK("#Transactions!A39","Row 28")</f>
      </c>
      <c r="C42" t="str">
        <v>ATM:PURCHASE</v>
      </c>
      <c r="D42" t="str">
        <v>Pos Purchase</v>
      </c>
      <c r="E42" t="str">
        <v>Balance: 0.00</v>
      </c>
    </row>
    <row r="43">
      <c r="A43" t="str">
        <v>⚠️ Mismatch</v>
      </c>
      <c r="B43">
        <f>HYPERLINK("#Transactions!A40","Row 29")</f>
      </c>
      <c r="C43" t="str">
        <v/>
      </c>
      <c r="D43" t="str">
        <v>Check 1237</v>
      </c>
      <c r="E43" t="str">
        <v>Balance: 0.00</v>
      </c>
    </row>
    <row r="44">
      <c r="A44" t="str">
        <v>⚠️ Mismatch</v>
      </c>
      <c r="B44">
        <f>HYPERLINK("#Transactions!A41","Row 30")</f>
      </c>
      <c r="C44" t="str">
        <v/>
      </c>
      <c r="D44" t="str">
        <v>Preauthorized Credit</v>
      </c>
      <c r="E44" t="str">
        <v>Balance: 0.00</v>
      </c>
    </row>
    <row r="45">
      <c r="A45" t="str">
        <v>⚠️ Mismatch</v>
      </c>
      <c r="B45">
        <f>HYPERLINK("#Transactions!A42","Row 31")</f>
      </c>
      <c r="C45" t="str">
        <v>ATM:WITHDRAWAL</v>
      </c>
      <c r="D45" t="str">
        <v>Atm Withdrawal</v>
      </c>
      <c r="E45" t="str">
        <v>Balance: 0.00</v>
      </c>
    </row>
    <row r="46">
      <c r="A46" t="str">
        <v>⚠️ Mismatch</v>
      </c>
      <c r="B46">
        <f>HYPERLINK("#Transactions!A43","Row 32")</f>
      </c>
      <c r="C46" t="str">
        <v/>
      </c>
      <c r="D46" t="str">
        <v>Check 1238</v>
      </c>
      <c r="E46" t="str">
        <v>Balance: 0.00</v>
      </c>
    </row>
    <row r="47">
      <c r="A47" t="str">
        <v>⚠️ Mismatch</v>
      </c>
      <c r="B47">
        <f>HYPERLINK("#Transactions!A44","Row 33")</f>
      </c>
      <c r="C47" t="str">
        <v>ATM:PURCHASE</v>
      </c>
      <c r="D47" t="str">
        <v>Pos Purchase</v>
      </c>
      <c r="E47" t="str">
        <v>Balance: 0.00</v>
      </c>
    </row>
    <row r="48">
      <c r="A48" t="str">
        <v>⚠️ Mismatch</v>
      </c>
      <c r="B48">
        <f>HYPERLINK("#Transactions!A45","Row 34")</f>
      </c>
      <c r="C48" t="str">
        <v/>
      </c>
      <c r="D48" t="str">
        <v>Check 1239</v>
      </c>
      <c r="E48" t="str">
        <v>Balance: 0.00</v>
      </c>
    </row>
    <row r="49">
      <c r="A49" t="str">
        <v>⚠️ Mismatch</v>
      </c>
      <c r="B49">
        <f>HYPERLINK("#Transactions!A46","Row 35")</f>
      </c>
      <c r="C49" t="str">
        <v/>
      </c>
      <c r="D49" t="str">
        <v>Preauthorized Credit</v>
      </c>
      <c r="E49" t="str">
        <v>Balance: 0.00</v>
      </c>
    </row>
    <row r="50">
      <c r="A50" t="str">
        <v>⚠️ Mismatch</v>
      </c>
      <c r="B50">
        <f>HYPERLINK("#Transactions!A47","Row 36")</f>
      </c>
      <c r="C50" t="str">
        <v/>
      </c>
      <c r="D50" t="str">
        <v>Check 1247</v>
      </c>
      <c r="E50" t="str">
        <v>Balance: 0.00</v>
      </c>
    </row>
    <row r="51">
      <c r="A51" t="str">
        <v>⚠️ Mismatch</v>
      </c>
      <c r="B51">
        <f>HYPERLINK("#Transactions!A48","Row 37")</f>
      </c>
      <c r="C51" t="str">
        <v/>
      </c>
      <c r="D51" t="str">
        <v>Check 1248</v>
      </c>
      <c r="E51" t="str">
        <v>Balance: 0.00</v>
      </c>
    </row>
    <row r="52">
      <c r="A52" t="str">
        <v>⚠️ Mismatch</v>
      </c>
      <c r="B52">
        <f>HYPERLINK("#Transactions!A49","Row 38")</f>
      </c>
      <c r="C52" t="str">
        <v/>
      </c>
      <c r="D52" t="str">
        <v>Check 1246</v>
      </c>
      <c r="E52" t="str">
        <v>Balance: 0.00</v>
      </c>
    </row>
    <row r="53">
      <c r="A53" t="str">
        <v>⚠️ Mismatch</v>
      </c>
      <c r="B53">
        <f>HYPERLINK("#Transactions!A50","Row 39")</f>
      </c>
      <c r="C53" t="str">
        <v/>
      </c>
      <c r="D53" t="str">
        <v>Check 1249</v>
      </c>
      <c r="E53" t="str">
        <v>Balance: 0.00</v>
      </c>
    </row>
    <row r="54">
      <c r="A54" t="str">
        <v>⚠️ Mismatch</v>
      </c>
      <c r="B54">
        <f>HYPERLINK("#Transactions!A51","Row 40")</f>
      </c>
      <c r="C54" t="str">
        <v/>
      </c>
      <c r="D54" t="str">
        <v>Interest Credit</v>
      </c>
      <c r="E54" t="str">
        <v>Balance: 0.00</v>
      </c>
    </row>
    <row r="55">
      <c r="A55" t="str">
        <v>⚠️ Mismatch</v>
      </c>
      <c r="B55">
        <f>HYPERLINK("#Transactions!A52","Row 41")</f>
      </c>
      <c r="C55" t="str">
        <v/>
      </c>
      <c r="D55" t="str">
        <v>Service Charge</v>
      </c>
      <c r="E55" t="str">
        <v>Balance: 0.00</v>
      </c>
    </row>
    <row r="56">
      <c r="A56" t="str">
        <v/>
      </c>
      <c r="B56" t="str">
        <v/>
      </c>
      <c r="C56" t="str">
        <v/>
      </c>
      <c r="D56" t="str">
        <v/>
      </c>
      <c r="E56" t="str">
        <v/>
      </c>
    </row>
    <row r="57">
      <c r="A57" t="str">
        <v>🛡️ FRAUD ALERTS</v>
      </c>
      <c r="B57" t="str">
        <v/>
      </c>
      <c r="C57" t="str">
        <v/>
      </c>
      <c r="D57" t="str">
        <v/>
      </c>
      <c r="E57" t="str">
        <v>Total: 2</v>
      </c>
    </row>
    <row r="58">
      <c r="A58" t="str">
        <v>🛡️ CRITICAL</v>
      </c>
      <c r="B58">
        <v>1</v>
      </c>
      <c r="C58" t="str">
        <v>BALANCE_INTEGRITY</v>
      </c>
      <c r="D58" t="str">
        <v>20 transaction(s) have balance discrepancies. Math</v>
      </c>
      <c r="E58" t="str">
        <v>Rows: 21, 22, 23, 24, 25, 26, 27, 28, 29, 30, 31, 32, 33, 34, 35, 36, 37, 38, 39, 40</v>
      </c>
    </row>
    <row r="59">
      <c r="A59" t="str">
        <v>🛡️ CRITICAL</v>
      </c>
      <c r="B59">
        <v>2</v>
      </c>
      <c r="C59" t="str">
        <v>LIQUIDITY_CRISIS</v>
      </c>
      <c r="D59" t="str">
        <v>Account reached zero or negative balance on 20 occ</v>
      </c>
      <c r="E59" t="str">
        <v>Rows: N/A</v>
      </c>
    </row>
    <row r="60">
      <c r="A60" t="str">
        <v/>
      </c>
      <c r="B60" t="str">
        <v/>
      </c>
      <c r="C60" t="str">
        <v/>
      </c>
      <c r="D60" t="str">
        <v/>
      </c>
      <c r="E60" t="str">
        <v/>
      </c>
    </row>
    <row r="61">
      <c r="A61" t="str">
        <v>📊 AUDIT SUMMARY</v>
      </c>
      <c r="B61" t="str">
        <v/>
      </c>
      <c r="C61" t="str">
        <v/>
      </c>
      <c r="D61" t="str">
        <v/>
      </c>
      <c r="E61" t="str">
        <v>Duplicates: 28 | Mismatches: 20 | Risk Flags: 0</v>
      </c>
    </row>
  </sheetData>
  <ignoredErrors>
    <ignoredError numberStoredAsText="1" sqref="A1:E6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33"/>
  <sheetViews>
    <sheetView workbookViewId="0"/>
  </sheetViews>
  <cols>
    <col min="1" max="1" width="33.83203125" customWidth="1"/>
    <col min="2" max="2" width="56.83203125" customWidth="1"/>
  </cols>
  <sheetData>
    <row r="1">
      <c r="A1" t="str">
        <v>BANK STATEMENT ANALYSIS SUMMARY</v>
      </c>
      <c r="B1" t="str">
        <v/>
      </c>
    </row>
    <row r="2">
      <c r="A2" t="str">
        <v/>
      </c>
      <c r="B2" t="str">
        <v/>
      </c>
    </row>
    <row r="3">
      <c r="A3" t="str">
        <v>FINANCIAL OVERVIEW</v>
      </c>
      <c r="B3" t="str">
        <v/>
      </c>
    </row>
    <row r="4">
      <c r="A4" t="str">
        <v>Total Transactions</v>
      </c>
      <c r="B4">
        <v>41</v>
      </c>
    </row>
    <row r="5">
      <c r="A5" t="str">
        <v>Total Credits</v>
      </c>
      <c r="B5" t="str">
        <v>2,989.55</v>
      </c>
    </row>
    <row r="6">
      <c r="A6" t="str">
        <v>Total Debits</v>
      </c>
      <c r="B6" t="str">
        <v>2,691.55</v>
      </c>
    </row>
    <row r="7">
      <c r="A7" t="str">
        <v>Net Cash Flow</v>
      </c>
      <c r="B7" t="str">
        <v>298.00</v>
      </c>
    </row>
    <row r="8">
      <c r="A8" t="str">
        <v>Duplicate Transactions</v>
      </c>
      <c r="B8">
        <v>14</v>
      </c>
    </row>
    <row r="9">
      <c r="A9" t="str">
        <v/>
      </c>
      <c r="B9" t="str">
        <v/>
      </c>
    </row>
    <row r="10">
      <c r="A10" t="str">
        <v>FOIR ANALYSIS</v>
      </c>
      <c r="B10" t="str">
        <v/>
      </c>
    </row>
    <row r="11">
      <c r="A11" t="str">
        <v>FOIR Score</v>
      </c>
      <c r="B11" t="str">
        <v>0.00%</v>
      </c>
    </row>
    <row r="12">
      <c r="A12" t="str">
        <v>FOIR Status</v>
      </c>
      <c r="B12" t="str">
        <v>EXCELLENT</v>
      </c>
    </row>
    <row r="13">
      <c r="A13" t="str">
        <v>Average Monthly Income</v>
      </c>
      <c r="B13" t="str">
        <v>1,494.52</v>
      </c>
    </row>
    <row r="14">
      <c r="A14" t="str">
        <v>Average Monthly EMI</v>
      </c>
      <c r="B14" t="str">
        <v>0.00</v>
      </c>
    </row>
    <row r="15">
      <c r="A15" t="str">
        <v>Disposable Income</v>
      </c>
      <c r="B15" t="str">
        <v>1,494.52</v>
      </c>
    </row>
    <row r="16">
      <c r="A16" t="str">
        <v>Max New EMI Capacity</v>
      </c>
      <c r="B16" t="str">
        <v>747.00</v>
      </c>
    </row>
    <row r="17">
      <c r="A17" t="str">
        <v>Estimated Loan Eligibility</v>
      </c>
      <c r="B17" t="str">
        <v>44,820.00</v>
      </c>
    </row>
    <row r="18">
      <c r="A18" t="str">
        <v/>
      </c>
      <c r="B18" t="str">
        <v/>
      </c>
    </row>
    <row r="19">
      <c r="A19" t="str">
        <v>ELIGIBILITY</v>
      </c>
      <c r="B19" t="str">
        <v/>
      </c>
    </row>
    <row r="20">
      <c r="A20" t="str">
        <v>Status</v>
      </c>
      <c r="B20" t="str">
        <v>EXCELLENT</v>
      </c>
    </row>
    <row r="21">
      <c r="A21" t="str">
        <v>Assessment</v>
      </c>
      <c r="B21" t="str">
        <v>Excellent debt-to-income ratio. High loan eligibility.</v>
      </c>
    </row>
    <row r="22">
      <c r="A22" t="str">
        <v/>
      </c>
      <c r="B22" t="str">
        <v/>
      </c>
    </row>
    <row r="23">
      <c r="A23" t="str">
        <v>LIQUIDITY ANALYSIS</v>
      </c>
      <c r="B23" t="str">
        <v/>
      </c>
    </row>
    <row r="24">
      <c r="A24" t="str">
        <v>Minimum Balance</v>
      </c>
      <c r="B24" t="str">
        <v>0.00</v>
      </c>
    </row>
    <row r="25">
      <c r="A25" t="str">
        <v>Maximum Balance</v>
      </c>
      <c r="B25" t="str">
        <v>1,216.92</v>
      </c>
    </row>
    <row r="26">
      <c r="A26" t="str">
        <v>Average Balance</v>
      </c>
      <c r="B26" t="str">
        <v>329.48</v>
      </c>
    </row>
    <row r="27">
      <c r="A27" t="str">
        <v>Zero Balance Days</v>
      </c>
      <c r="B27">
        <v>20</v>
      </c>
    </row>
    <row r="28">
      <c r="A28" t="str">
        <v>Max Dip Date</v>
      </c>
      <c r="B28" t="str">
        <v>2023-10-02</v>
      </c>
    </row>
    <row r="29">
      <c r="A29" t="str">
        <v/>
      </c>
      <c r="B29" t="str">
        <v/>
      </c>
    </row>
    <row r="30">
      <c r="A30" t="str">
        <v>DOCUMENT INTEGRITY</v>
      </c>
      <c r="B30" t="str">
        <v/>
      </c>
    </row>
    <row r="31">
      <c r="A31" t="str">
        <v>Integrity Score</v>
      </c>
      <c r="B31" t="str">
        <v>0/100</v>
      </c>
    </row>
    <row r="32">
      <c r="A32" t="str">
        <v>Balance Mismatches</v>
      </c>
      <c r="B32">
        <v>20</v>
      </c>
    </row>
    <row r="33">
      <c r="A33" t="str">
        <v>Validation Status</v>
      </c>
      <c r="B33" t="str">
        <v>⚠️ ISSUES FOUND</v>
      </c>
    </row>
  </sheetData>
  <ignoredErrors>
    <ignoredError numberStoredAsText="1" sqref="A1:B3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cols>
    <col min="1" max="1" width="15.83203125" customWidth="1"/>
    <col min="2" max="2" width="8.83203125" customWidth="1"/>
    <col min="3" max="3" width="20.83203125" customWidth="1"/>
    <col min="4" max="4" width="20.83203125" customWidth="1"/>
    <col min="5" max="5" width="21.83203125" customWidth="1"/>
  </cols>
  <sheetData>
    <row r="1">
      <c r="A1" t="str">
        <v>Category</v>
      </c>
      <c r="B1" t="str">
        <v>Count</v>
      </c>
      <c r="C1" t="str">
        <v>Total Debit</v>
      </c>
      <c r="D1" t="str">
        <v>Total Credit</v>
      </c>
      <c r="E1" t="str">
        <v>Net</v>
      </c>
    </row>
    <row r="2">
      <c r="A2" t="str">
        <v>Other</v>
      </c>
      <c r="B2">
        <v>32</v>
      </c>
      <c r="C2">
        <v>2387.5499999999997</v>
      </c>
      <c r="D2">
        <v>0.52</v>
      </c>
      <c r="E2">
        <v>-2387.0299999999997</v>
      </c>
    </row>
    <row r="3">
      <c r="A3" t="str">
        <v>Salary/Income</v>
      </c>
      <c r="B3">
        <v>5</v>
      </c>
      <c r="C3">
        <v>0</v>
      </c>
      <c r="D3">
        <v>2989.0299999999997</v>
      </c>
      <c r="E3">
        <v>2989.0299999999997</v>
      </c>
    </row>
    <row r="4">
      <c r="A4" t="str">
        <v>Cash</v>
      </c>
      <c r="B4">
        <v>2</v>
      </c>
      <c r="C4">
        <v>280</v>
      </c>
      <c r="D4">
        <v>0</v>
      </c>
      <c r="E4">
        <v>-280</v>
      </c>
    </row>
    <row r="5">
      <c r="A5" t="str">
        <v>Bank Fees</v>
      </c>
      <c r="B5">
        <v>2</v>
      </c>
      <c r="C5">
        <v>24</v>
      </c>
      <c r="D5">
        <v>0</v>
      </c>
      <c r="E5">
        <v>-24</v>
      </c>
    </row>
  </sheetData>
  <ignoredErrors>
    <ignoredError numberStoredAsText="1" sqref="A1:E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Transactions</vt:lpstr>
      <vt:lpstr>Audit</vt:lpstr>
      <vt:lpstr>Summary</vt:lpstr>
      <vt:lpstr>Categories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